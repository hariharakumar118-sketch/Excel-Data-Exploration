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91978\Downloads\"/>
    </mc:Choice>
  </mc:AlternateContent>
  <xr:revisionPtr revIDLastSave="0" documentId="13_ncr:1_{A81ACEEE-06FB-410C-8235-B73C51833E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Case Study &amp; Findin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G12" i="1" l="1"/>
  <c r="H12" i="1"/>
  <c r="I12" i="1"/>
  <c r="J12" i="1"/>
  <c r="G13" i="1"/>
  <c r="H13" i="1"/>
  <c r="I13" i="1"/>
  <c r="J13" i="1"/>
  <c r="G14" i="1"/>
  <c r="H14" i="1"/>
  <c r="I14" i="1"/>
  <c r="J14" i="1"/>
  <c r="G16" i="1"/>
  <c r="H16" i="1"/>
  <c r="I16" i="1"/>
  <c r="J16" i="1"/>
  <c r="G18" i="1"/>
  <c r="H18" i="1"/>
  <c r="I18" i="1"/>
  <c r="J18" i="1"/>
  <c r="G19" i="1"/>
  <c r="H19" i="1"/>
  <c r="I19" i="1"/>
  <c r="J19" i="1"/>
  <c r="G25" i="1"/>
  <c r="H25" i="1"/>
  <c r="I25" i="1"/>
  <c r="J25" i="1"/>
  <c r="G26" i="1"/>
  <c r="H26" i="1"/>
  <c r="I26" i="1"/>
  <c r="J26" i="1"/>
  <c r="G27" i="1"/>
  <c r="H27" i="1"/>
  <c r="I27" i="1"/>
  <c r="J27" i="1"/>
  <c r="G28" i="1"/>
  <c r="H28" i="1"/>
  <c r="I28" i="1"/>
  <c r="J28" i="1"/>
  <c r="G29" i="1"/>
  <c r="H29" i="1"/>
  <c r="I29" i="1"/>
  <c r="J29" i="1"/>
  <c r="G32" i="1"/>
  <c r="H32" i="1"/>
  <c r="I32" i="1"/>
  <c r="J32" i="1"/>
  <c r="G34" i="1"/>
  <c r="H34" i="1"/>
  <c r="I34" i="1"/>
  <c r="J34" i="1"/>
  <c r="G2" i="1"/>
  <c r="G3" i="1"/>
  <c r="G4" i="1"/>
  <c r="G5" i="1"/>
  <c r="G6" i="1"/>
  <c r="G7" i="1"/>
  <c r="G8" i="1"/>
  <c r="G9" i="1"/>
  <c r="G10" i="1"/>
  <c r="G11" i="1"/>
  <c r="G15" i="1"/>
  <c r="G17" i="1"/>
  <c r="G20" i="1"/>
  <c r="G21" i="1"/>
  <c r="G22" i="1"/>
  <c r="G23" i="1"/>
  <c r="G24" i="1"/>
  <c r="G30" i="1"/>
  <c r="G31" i="1"/>
  <c r="G33" i="1"/>
  <c r="G35" i="1"/>
  <c r="J2" i="1"/>
  <c r="J3" i="1"/>
  <c r="J4" i="1"/>
  <c r="J5" i="1"/>
  <c r="J6" i="1"/>
  <c r="J7" i="1"/>
  <c r="J8" i="1"/>
  <c r="J9" i="1"/>
  <c r="J10" i="1"/>
  <c r="J11" i="1"/>
  <c r="J15" i="1"/>
  <c r="J17" i="1"/>
  <c r="J20" i="1"/>
  <c r="J21" i="1"/>
  <c r="J22" i="1"/>
  <c r="J23" i="1"/>
  <c r="J24" i="1"/>
  <c r="J30" i="1"/>
  <c r="J31" i="1"/>
  <c r="J33" i="1"/>
  <c r="J35" i="1"/>
  <c r="I2" i="1"/>
  <c r="I3" i="1"/>
  <c r="I4" i="1"/>
  <c r="I5" i="1"/>
  <c r="I6" i="1"/>
  <c r="I7" i="1"/>
  <c r="I8" i="1"/>
  <c r="I9" i="1"/>
  <c r="I10" i="1"/>
  <c r="I11" i="1"/>
  <c r="I15" i="1"/>
  <c r="I17" i="1"/>
  <c r="I20" i="1"/>
  <c r="I21" i="1"/>
  <c r="I22" i="1"/>
  <c r="I23" i="1"/>
  <c r="I24" i="1"/>
  <c r="I30" i="1"/>
  <c r="I31" i="1"/>
  <c r="I33" i="1"/>
  <c r="I35" i="1"/>
  <c r="H2" i="1"/>
  <c r="H3" i="1"/>
  <c r="H4" i="1"/>
  <c r="H5" i="1"/>
  <c r="H6" i="1"/>
  <c r="H7" i="1"/>
  <c r="H8" i="1"/>
  <c r="H9" i="1"/>
  <c r="H10" i="1"/>
  <c r="H11" i="1"/>
  <c r="H15" i="1"/>
  <c r="H17" i="1"/>
  <c r="H20" i="1"/>
  <c r="H21" i="1"/>
  <c r="H22" i="1"/>
  <c r="H23" i="1"/>
  <c r="H24" i="1"/>
  <c r="H30" i="1"/>
  <c r="H31" i="1"/>
  <c r="H33" i="1"/>
  <c r="H35" i="1"/>
  <c r="B21" i="2"/>
  <c r="B20" i="2"/>
  <c r="B12" i="2"/>
  <c r="B7" i="2"/>
  <c r="B11" i="2"/>
  <c r="B8" i="2"/>
  <c r="B5" i="2"/>
</calcChain>
</file>

<file path=xl/sharedStrings.xml><?xml version="1.0" encoding="utf-8"?>
<sst xmlns="http://schemas.openxmlformats.org/spreadsheetml/2006/main" count="181" uniqueCount="132">
  <si>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</si>
  <si>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</si>
  <si>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</si>
  <si>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</si>
  <si>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</si>
  <si>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</si>
  <si>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</si>
  <si>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</si>
  <si>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</si>
  <si>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</si>
  <si>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</si>
  <si>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</si>
  <si>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</si>
  <si>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</si>
  <si>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</si>
  <si>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</si>
  <si>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</si>
  <si>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</si>
  <si>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</si>
  <si>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</si>
  <si>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</si>
  <si>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</si>
  <si>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</si>
  <si>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</si>
  <si>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</si>
  <si>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</si>
  <si>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</si>
  <si>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</si>
  <si>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</si>
  <si>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</si>
  <si>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</si>
  <si>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</si>
  <si>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</si>
  <si>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</si>
  <si>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</si>
  <si>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</si>
  <si>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</si>
  <si>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</si>
  <si>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</si>
  <si>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</si>
  <si>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</si>
  <si>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</si>
  <si>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</si>
  <si>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</si>
  <si>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</si>
  <si>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</si>
  <si>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</si>
  <si>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</si>
  <si>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</si>
  <si>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</si>
  <si>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</si>
  <si>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</si>
  <si>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</si>
  <si>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</si>
  <si>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</si>
  <si>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</si>
  <si>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</si>
  <si>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</si>
  <si>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</si>
  <si>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</si>
  <si>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</si>
  <si>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</si>
  <si>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</si>
  <si>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</si>
  <si>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</si>
  <si>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</si>
  <si>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</si>
  <si>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</si>
  <si>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</si>
  <si>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</si>
  <si>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</si>
  <si>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</si>
  <si>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</si>
  <si>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</si>
  <si>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</si>
  <si>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</si>
  <si>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</si>
  <si>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</si>
  <si>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</si>
  <si>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</si>
  <si>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</si>
  <si>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</si>
  <si>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</si>
  <si>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</si>
  <si>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</si>
  <si>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</si>
  <si>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</si>
  <si>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</si>
  <si>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</si>
  <si>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</si>
  <si>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</si>
  <si>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</si>
  <si>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</si>
  <si>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Basic Data Exploration</t>
  </si>
  <si>
    <t>Formula Used</t>
  </si>
  <si>
    <t xml:space="preserve">Case Questions </t>
  </si>
  <si>
    <t>Findings</t>
  </si>
  <si>
    <t xml:space="preserve">● Calculate the total price of all products in the dataset. </t>
  </si>
  <si>
    <t>● Determine how many products exist in the dataset.</t>
  </si>
  <si>
    <t xml:space="preserve">1. Sum, Count, and Average 
Perform the following calculations using Excel functions: </t>
  </si>
  <si>
    <t xml:space="preserve">● Calculate the average price of the products. </t>
  </si>
  <si>
    <t>● Identify the minimum price among all products</t>
  </si>
  <si>
    <t>● Identify the maximum price among all products.</t>
  </si>
  <si>
    <t xml:space="preserve">2. Minimum and Maximum Values 
Using Excel functions: </t>
  </si>
  <si>
    <t xml:space="preserve">● Use the IF function to categorize products based on their price: </t>
  </si>
  <si>
    <t xml:space="preserve">○ If Price ≥ $500 → classify as High Price </t>
  </si>
  <si>
    <t>○ If Price &lt; $500 → classify as Standard Price</t>
  </si>
  <si>
    <t xml:space="preserve">● Use the SUMIF function to calculate the total price of products in the 
Electronics category. </t>
  </si>
  <si>
    <t xml:space="preserve">● Use the COUNTIF function to determine the number of products with a price 
less than $100. </t>
  </si>
  <si>
    <t xml:space="preserve">4. Conditional Functions – SUMIF and COUNTIF 
Perform the following conditional calculations: </t>
  </si>
  <si>
    <t>○ Create a new column named Day with the first 2 characters of each 'Product ID' using the LEFT function.</t>
  </si>
  <si>
    <t>○ Create a new column named Country Code by extracting the last 2 characters from the 'Product ID' column using the RIGHT function.</t>
  </si>
  <si>
    <t xml:space="preserve">5. Text Formatting – LEFT, RIGHT, MID ● Use text functions to extract information from the Product ID column. ● Create the following new columns:   </t>
  </si>
  <si>
    <r>
      <t xml:space="preserve">○ </t>
    </r>
    <r>
      <rPr>
        <sz val="12"/>
        <color rgb="FF000000"/>
        <rFont val="Arial"/>
        <family val="2"/>
        <scheme val="minor"/>
      </rPr>
      <t>Create a new column named Month by extracting the 4th to 6th characters from the 'Product ID' column using the MID function.</t>
    </r>
  </si>
  <si>
    <t>SUM(Product_DB[Price ($)])</t>
  </si>
  <si>
    <t>Price Range</t>
  </si>
  <si>
    <t>AVERAGE(Product_DB[Price ($)])</t>
  </si>
  <si>
    <t>Case Study - Product Database</t>
  </si>
  <si>
    <t xml:space="preserve">3. Logical Function – IF 
● Create a new column named Price Range. </t>
  </si>
  <si>
    <t>COUNT(Product_DB[Price ($)])</t>
  </si>
  <si>
    <t>MIN(Product_DB[Price ($)])</t>
  </si>
  <si>
    <t>MAX(Product_DB[Price ($)])</t>
  </si>
  <si>
    <t>SUMIF(Product_DB[Category],"Electronics",Product_DB[Price ($)])</t>
  </si>
  <si>
    <t>COUNTIF(Product_DB[Price ($)],"&lt;100")</t>
  </si>
  <si>
    <t>Day</t>
  </si>
  <si>
    <t>Month</t>
  </si>
  <si>
    <t>Country Code</t>
  </si>
  <si>
    <t>LEFT([@[Product ID]],2)</t>
  </si>
  <si>
    <t>MID([@[Product ID]],4,3)</t>
  </si>
  <si>
    <t>RIGHT([@[Product ID]],2)</t>
  </si>
  <si>
    <t>Remove Duplicates</t>
  </si>
  <si>
    <t>IF([@[Price ($)]]&gt;=500,"High Price","Standard Price")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</si>
</sst>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2"/>
      <color rgb="FF000000"/>
      <name val="Arial"/>
      <family val="2"/>
      <scheme val="minor"/>
    </font>
    <font>
      <b/>
      <sz val="14"/>
      <color theme="4" tint="-0.249977111117893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6"/>
      <color theme="5" tint="0.39997558519241921"/>
      <name val="Arial"/>
      <family val="2"/>
      <scheme val="minor"/>
    </font>
    <font>
      <b/>
      <sz val="14"/>
      <color theme="7" tint="-0.249977111117893"/>
      <name val="Arial"/>
      <family val="2"/>
      <scheme val="minor"/>
    </font>
    <font>
      <sz val="10"/>
      <color rgb="FFC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double">
        <color indexed="64"/>
      </right>
      <top style="double">
        <color indexed="64"/>
      </top>
      <bottom style="dotted">
        <color indexed="64"/>
      </bottom>
      <diagonal/>
    </border>
    <border>
      <left style="double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dotted">
        <color indexed="64"/>
      </right>
      <top style="dott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6" fillId="0" borderId="0" xfId="0" applyFont="1"/>
    <xf numFmtId="0" fontId="3" fillId="0" borderId="0" xfId="0" applyFont="1"/>
    <xf numFmtId="0" fontId="7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0" borderId="2" xfId="0" applyFont="1" applyBorder="1" applyAlignment="1">
      <alignment wrapText="1"/>
    </xf>
    <xf numFmtId="0" fontId="6" fillId="0" borderId="2" xfId="0" applyFont="1" applyBorder="1"/>
    <xf numFmtId="0" fontId="6" fillId="0" borderId="2" xfId="0" applyFont="1" applyBorder="1" applyAlignment="1">
      <alignment wrapText="1"/>
    </xf>
    <xf numFmtId="0" fontId="0" fillId="0" borderId="2" xfId="0" applyBorder="1"/>
    <xf numFmtId="0" fontId="10" fillId="0" borderId="0" xfId="0" applyFont="1"/>
    <xf numFmtId="0" fontId="9" fillId="6" borderId="1" xfId="0" applyFont="1" applyFill="1" applyBorder="1" applyAlignment="1">
      <alignment horizontal="center" vertical="center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49" fontId="6" fillId="0" borderId="9" xfId="0" applyNumberFormat="1" applyFont="1" applyBorder="1" applyAlignment="1">
      <alignment horizontal="right"/>
    </xf>
    <xf numFmtId="0" fontId="6" fillId="0" borderId="9" xfId="0" applyFont="1" applyBorder="1" applyAlignment="1">
      <alignment horizontal="right"/>
    </xf>
    <xf numFmtId="0" fontId="6" fillId="0" borderId="10" xfId="0" applyFont="1" applyBorder="1"/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6" fillId="0" borderId="11" xfId="0" applyNumberFormat="1" applyFont="1" applyBorder="1" applyAlignment="1">
      <alignment horizontal="right"/>
    </xf>
    <xf numFmtId="0" fontId="0" fillId="0" borderId="9" xfId="0" applyBorder="1" applyAlignment="1">
      <alignment horizontal="right"/>
    </xf>
    <xf numFmtId="0" fontId="8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3C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B88106-72D2-4169-8D33-40E400BF787C}" name="Product_DB" displayName="Product_DB" ref="A1:J35" totalsRowShown="0" headerRowDxfId="11" dataDxfId="10">
  <autoFilter ref="A1:J35" xr:uid="{E3B88106-72D2-4169-8D33-40E400BF787C}"/>
  <tableColumns count="10">
    <tableColumn id="1" xr3:uid="{810CEDD1-B6E4-4082-9BFD-1A0D86CF8E82}" name="Product ID" dataDxfId="9"/>
    <tableColumn id="2" xr3:uid="{5DCD4DF1-B00F-4131-8BDC-77EABAD3F5DB}" name="Product Name" dataDxfId="8"/>
    <tableColumn id="3" xr3:uid="{77BB407C-FAAB-42E1-B7BE-E205377790C7}" name="Brand Name" dataDxfId="7"/>
    <tableColumn id="4" xr3:uid="{431F3C4B-B2FC-4635-8EE2-50D34A288517}" name="Price ($)" dataDxfId="6"/>
    <tableColumn id="5" xr3:uid="{950DB5D9-CF54-4DB5-9C7F-82BFC583A9BD}" name="Quantity" dataDxfId="5"/>
    <tableColumn id="9" xr3:uid="{17D0451B-95EE-4A35-A4D6-8C39A8649202}" name="Category" dataDxfId="4"/>
    <tableColumn id="7" xr3:uid="{F1517285-A597-44EC-87A8-263143EA4B06}" name="Price Range" dataDxfId="3">
      <calculatedColumnFormula>IF(Product_DB[[#This Row],[Price ($)]]&gt;=500,"High Price","Standard Price")</calculatedColumnFormula>
    </tableColumn>
    <tableColumn id="10" xr3:uid="{D586A7BA-A710-4841-B293-437F9D9724FF}" name="Day" dataDxfId="2">
      <calculatedColumnFormula>LEFT(Product_DB[[#This Row],[Product ID]],2)</calculatedColumnFormula>
    </tableColumn>
    <tableColumn id="8" xr3:uid="{7DE6A44C-85E2-4E0D-AE3E-1519CF4F3AA0}" name="Month" dataDxfId="1">
      <calculatedColumnFormula>MID(Product_DB[[#This Row],[Product ID]],4,3)</calculatedColumnFormula>
    </tableColumn>
    <tableColumn id="6" xr3:uid="{65E5060D-9A80-4FEA-AE5A-C84FEF1EB905}" name="Country Code" dataDxfId="0">
      <calculatedColumnFormula>RIGHT(Product_DB[[#This Row],[Product ID]],2)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95"/>
  <sheetViews>
    <sheetView tabSelected="1" workbookViewId="0">
      <selection activeCell="G1" sqref="G1"/>
    </sheetView>
  </sheetViews>
  <sheetFormatPr defaultColWidth="12.6640625" defaultRowHeight="15" customHeight="1" x14ac:dyDescent="0.25"/>
  <cols>
    <col min="1" max="1" width="14.88671875" customWidth="1"/>
    <col min="2" max="2" width="15.33203125" customWidth="1"/>
    <col min="3" max="6" width="14.88671875" customWidth="1"/>
    <col min="7" max="9" width="14.88671875" style="27" customWidth="1"/>
    <col min="10" max="10" width="16.5546875" style="27" customWidth="1"/>
  </cols>
  <sheetData>
    <row r="1" spans="1:11" ht="15.75" customHeight="1" x14ac:dyDescent="0.2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2" t="s">
        <v>115</v>
      </c>
      <c r="H1" s="22" t="s">
        <v>124</v>
      </c>
      <c r="I1" s="22" t="s">
        <v>125</v>
      </c>
      <c r="J1" s="23" t="s">
        <v>126</v>
      </c>
      <c r="K1" s="2"/>
    </row>
    <row r="2" spans="1:11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25" t="str">
        <f>IF(Product_DB[[#This Row],[Price ($)]]&gt;=500,"High Price","Standard Price")</f>
        <v>High Price</v>
      </c>
      <c r="H2" s="24" t="str">
        <f>LEFT(Product_DB[[#This Row],[Product ID]],2)</f>
        <v>28</v>
      </c>
      <c r="I2" s="24" t="str">
        <f>MID(Product_DB[[#This Row],[Product ID]],4,3)</f>
        <v>JAN</v>
      </c>
      <c r="J2" s="24" t="str">
        <f>RIGHT(Product_DB[[#This Row],[Product ID]],2)</f>
        <v>US</v>
      </c>
      <c r="K2" s="3"/>
    </row>
    <row r="3" spans="1:11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26" t="str">
        <f>IF(Product_DB[[#This Row],[Price ($)]]&gt;=500,"High Price","Standard Price")</f>
        <v>Standard Price</v>
      </c>
      <c r="H3" s="26" t="str">
        <f>LEFT(Product_DB[[#This Row],[Product ID]],2)</f>
        <v>15</v>
      </c>
      <c r="I3" s="26" t="str">
        <f>MID(Product_DB[[#This Row],[Product ID]],4,3)</f>
        <v>FEB</v>
      </c>
      <c r="J3" s="26" t="str">
        <f>RIGHT(Product_DB[[#This Row],[Product ID]],2)</f>
        <v>US</v>
      </c>
      <c r="K3" s="3"/>
    </row>
    <row r="4" spans="1:11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24" t="str">
        <f>IF(Product_DB[[#This Row],[Price ($)]]&gt;=500,"High Price","Standard Price")</f>
        <v>Standard Price</v>
      </c>
      <c r="H4" s="24" t="str">
        <f>LEFT(Product_DB[[#This Row],[Product ID]],2)</f>
        <v>03</v>
      </c>
      <c r="I4" s="24" t="str">
        <f>MID(Product_DB[[#This Row],[Product ID]],4,3)</f>
        <v>MAR</v>
      </c>
      <c r="J4" s="24" t="str">
        <f>RIGHT(Product_DB[[#This Row],[Product ID]],2)</f>
        <v>US</v>
      </c>
      <c r="K4" s="3"/>
    </row>
    <row r="5" spans="1:11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26" t="str">
        <f>IF(Product_DB[[#This Row],[Price ($)]]&gt;=500,"High Price","Standard Price")</f>
        <v>High Price</v>
      </c>
      <c r="H5" s="26" t="str">
        <f>LEFT(Product_DB[[#This Row],[Product ID]],2)</f>
        <v>11</v>
      </c>
      <c r="I5" s="26" t="str">
        <f>MID(Product_DB[[#This Row],[Product ID]],4,3)</f>
        <v>APR</v>
      </c>
      <c r="J5" s="26" t="str">
        <f>RIGHT(Product_DB[[#This Row],[Product ID]],2)</f>
        <v>US</v>
      </c>
      <c r="K5" s="3"/>
    </row>
    <row r="6" spans="1:11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24" t="str">
        <f>IF(Product_DB[[#This Row],[Price ($)]]&gt;=500,"High Price","Standard Price")</f>
        <v>Standard Price</v>
      </c>
      <c r="H6" s="24" t="str">
        <f>LEFT(Product_DB[[#This Row],[Product ID]],2)</f>
        <v>22</v>
      </c>
      <c r="I6" s="24" t="str">
        <f>MID(Product_DB[[#This Row],[Product ID]],4,3)</f>
        <v>MAY</v>
      </c>
      <c r="J6" s="24" t="str">
        <f>RIGHT(Product_DB[[#This Row],[Product ID]],2)</f>
        <v>US</v>
      </c>
      <c r="K6" s="3"/>
    </row>
    <row r="7" spans="1:11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26" t="str">
        <f>IF(Product_DB[[#This Row],[Price ($)]]&gt;=500,"High Price","Standard Price")</f>
        <v>Standard Price</v>
      </c>
      <c r="H7" s="26" t="str">
        <f>LEFT(Product_DB[[#This Row],[Product ID]],2)</f>
        <v>07</v>
      </c>
      <c r="I7" s="26" t="str">
        <f>MID(Product_DB[[#This Row],[Product ID]],4,3)</f>
        <v>JUN</v>
      </c>
      <c r="J7" s="26" t="str">
        <f>RIGHT(Product_DB[[#This Row],[Product ID]],2)</f>
        <v>UK</v>
      </c>
      <c r="K7" s="3"/>
    </row>
    <row r="8" spans="1:11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24" t="str">
        <f>IF(Product_DB[[#This Row],[Price ($)]]&gt;=500,"High Price","Standard Price")</f>
        <v>Standard Price</v>
      </c>
      <c r="H8" s="24" t="str">
        <f>LEFT(Product_DB[[#This Row],[Product ID]],2)</f>
        <v>19</v>
      </c>
      <c r="I8" s="24" t="str">
        <f>MID(Product_DB[[#This Row],[Product ID]],4,3)</f>
        <v>JUL</v>
      </c>
      <c r="J8" s="24" t="str">
        <f>RIGHT(Product_DB[[#This Row],[Product ID]],2)</f>
        <v>UK</v>
      </c>
      <c r="K8" s="3"/>
    </row>
    <row r="9" spans="1:11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26" t="str">
        <f>IF(Product_DB[[#This Row],[Price ($)]]&gt;=500,"High Price","Standard Price")</f>
        <v>Standard Price</v>
      </c>
      <c r="H9" s="26" t="str">
        <f>LEFT(Product_DB[[#This Row],[Product ID]],2)</f>
        <v>23</v>
      </c>
      <c r="I9" s="26" t="str">
        <f>MID(Product_DB[[#This Row],[Product ID]],4,3)</f>
        <v>AUG</v>
      </c>
      <c r="J9" s="26" t="str">
        <f>RIGHT(Product_DB[[#This Row],[Product ID]],2)</f>
        <v>UK</v>
      </c>
      <c r="K9" s="3"/>
    </row>
    <row r="10" spans="1:11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24" t="str">
        <f>IF(Product_DB[[#This Row],[Price ($)]]&gt;=500,"High Price","Standard Price")</f>
        <v>High Price</v>
      </c>
      <c r="H10" s="24" t="str">
        <f>LEFT(Product_DB[[#This Row],[Product ID]],2)</f>
        <v>05</v>
      </c>
      <c r="I10" s="24" t="str">
        <f>MID(Product_DB[[#This Row],[Product ID]],4,3)</f>
        <v>SEP</v>
      </c>
      <c r="J10" s="24" t="str">
        <f>RIGHT(Product_DB[[#This Row],[Product ID]],2)</f>
        <v>UK</v>
      </c>
      <c r="K10" s="3"/>
    </row>
    <row r="11" spans="1:11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26" t="str">
        <f>IF(Product_DB[[#This Row],[Price ($)]]&gt;=500,"High Price","Standard Price")</f>
        <v>Standard Price</v>
      </c>
      <c r="H11" s="26" t="str">
        <f>LEFT(Product_DB[[#This Row],[Product ID]],2)</f>
        <v>14</v>
      </c>
      <c r="I11" s="26" t="str">
        <f>MID(Product_DB[[#This Row],[Product ID]],4,3)</f>
        <v>OCT</v>
      </c>
      <c r="J11" s="26" t="str">
        <f>RIGHT(Product_DB[[#This Row],[Product ID]],2)</f>
        <v>UK</v>
      </c>
      <c r="K11" s="3"/>
    </row>
    <row r="12" spans="1:11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7" t="s">
        <v>9</v>
      </c>
      <c r="G12" s="25" t="str">
        <f>IF(Product_DB[[#This Row],[Price ($)]]&gt;=500,"High Price","Standard Price")</f>
        <v>High Price</v>
      </c>
      <c r="H12" s="25" t="str">
        <f>LEFT(Product_DB[[#This Row],[Product ID]],2)</f>
        <v>17</v>
      </c>
      <c r="I12" s="25" t="str">
        <f>MID(Product_DB[[#This Row],[Product ID]],4,3)</f>
        <v>JUN</v>
      </c>
      <c r="J12" s="24" t="str">
        <f>RIGHT(Product_DB[[#This Row],[Product ID]],2)</f>
        <v>IN</v>
      </c>
      <c r="K12" s="3"/>
    </row>
    <row r="13" spans="1:11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26" t="str">
        <f>IF(Product_DB[[#This Row],[Price ($)]]&gt;=500,"High Price","Standard Price")</f>
        <v>Standard Price</v>
      </c>
      <c r="H13" s="26" t="str">
        <f>LEFT(Product_DB[[#This Row],[Product ID]],2)</f>
        <v>25</v>
      </c>
      <c r="I13" s="26" t="str">
        <f>MID(Product_DB[[#This Row],[Product ID]],4,3)</f>
        <v>NOV</v>
      </c>
      <c r="J13" s="26" t="str">
        <f>RIGHT(Product_DB[[#This Row],[Product ID]],2)</f>
        <v>AU</v>
      </c>
      <c r="K13" s="3"/>
    </row>
    <row r="14" spans="1:11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24" t="str">
        <f>IF(Product_DB[[#This Row],[Price ($)]]&gt;=500,"High Price","Standard Price")</f>
        <v>Standard Price</v>
      </c>
      <c r="H14" s="24" t="str">
        <f>LEFT(Product_DB[[#This Row],[Product ID]],2)</f>
        <v>08</v>
      </c>
      <c r="I14" s="24" t="str">
        <f>MID(Product_DB[[#This Row],[Product ID]],4,3)</f>
        <v>DEC</v>
      </c>
      <c r="J14" s="24" t="str">
        <f>RIGHT(Product_DB[[#This Row],[Product ID]],2)</f>
        <v>DE</v>
      </c>
      <c r="K14" s="3"/>
    </row>
    <row r="15" spans="1:11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26" t="str">
        <f>IF(Product_DB[[#This Row],[Price ($)]]&gt;=500,"High Price","Standard Price")</f>
        <v>Standard Price</v>
      </c>
      <c r="H15" s="26" t="str">
        <f>LEFT(Product_DB[[#This Row],[Product ID]],2)</f>
        <v>18</v>
      </c>
      <c r="I15" s="26" t="str">
        <f>MID(Product_DB[[#This Row],[Product ID]],4,3)</f>
        <v>FEB</v>
      </c>
      <c r="J15" s="26" t="str">
        <f>RIGHT(Product_DB[[#This Row],[Product ID]],2)</f>
        <v>CA</v>
      </c>
      <c r="K15" s="3"/>
    </row>
    <row r="16" spans="1:11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24" t="str">
        <f>IF(Product_DB[[#This Row],[Price ($)]]&gt;=500,"High Price","Standard Price")</f>
        <v>Standard Price</v>
      </c>
      <c r="H16" s="24" t="str">
        <f>LEFT(Product_DB[[#This Row],[Product ID]],2)</f>
        <v>16</v>
      </c>
      <c r="I16" s="24" t="str">
        <f>MID(Product_DB[[#This Row],[Product ID]],4,3)</f>
        <v>APR</v>
      </c>
      <c r="J16" s="24" t="str">
        <f>RIGHT(Product_DB[[#This Row],[Product ID]],2)</f>
        <v>ES</v>
      </c>
      <c r="K16" s="3"/>
    </row>
    <row r="17" spans="1:11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26" t="str">
        <f>IF(Product_DB[[#This Row],[Price ($)]]&gt;=500,"High Price","Standard Price")</f>
        <v>Standard Price</v>
      </c>
      <c r="H17" s="26" t="str">
        <f>LEFT(Product_DB[[#This Row],[Product ID]],2)</f>
        <v>21</v>
      </c>
      <c r="I17" s="26" t="str">
        <f>MID(Product_DB[[#This Row],[Product ID]],4,3)</f>
        <v>AUG</v>
      </c>
      <c r="J17" s="26" t="str">
        <f>RIGHT(Product_DB[[#This Row],[Product ID]],2)</f>
        <v>CA</v>
      </c>
      <c r="K17" s="3"/>
    </row>
    <row r="18" spans="1:11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24" t="str">
        <f>IF(Product_DB[[#This Row],[Price ($)]]&gt;=500,"High Price","Standard Price")</f>
        <v>Standard Price</v>
      </c>
      <c r="H18" s="24" t="str">
        <f>LEFT(Product_DB[[#This Row],[Product ID]],2)</f>
        <v>20</v>
      </c>
      <c r="I18" s="24" t="str">
        <f>MID(Product_DB[[#This Row],[Product ID]],4,3)</f>
        <v>AUG</v>
      </c>
      <c r="J18" s="24" t="str">
        <f>RIGHT(Product_DB[[#This Row],[Product ID]],2)</f>
        <v>CN</v>
      </c>
      <c r="K18" s="3"/>
    </row>
    <row r="19" spans="1:11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26" t="str">
        <f>IF(Product_DB[[#This Row],[Price ($)]]&gt;=500,"High Price","Standard Price")</f>
        <v>High Price</v>
      </c>
      <c r="H19" s="26" t="str">
        <f>LEFT(Product_DB[[#This Row],[Product ID]],2)</f>
        <v>27</v>
      </c>
      <c r="I19" s="26" t="str">
        <f>MID(Product_DB[[#This Row],[Product ID]],4,3)</f>
        <v>JAN</v>
      </c>
      <c r="J19" s="26" t="str">
        <f>RIGHT(Product_DB[[#This Row],[Product ID]],2)</f>
        <v>IT</v>
      </c>
      <c r="K19" s="3"/>
    </row>
    <row r="20" spans="1:11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24" t="str">
        <f>IF(Product_DB[[#This Row],[Price ($)]]&gt;=500,"High Price","Standard Price")</f>
        <v>Standard Price</v>
      </c>
      <c r="H20" s="24" t="str">
        <f>LEFT(Product_DB[[#This Row],[Product ID]],2)</f>
        <v>01</v>
      </c>
      <c r="I20" s="24" t="str">
        <f>MID(Product_DB[[#This Row],[Product ID]],4,3)</f>
        <v>MAR</v>
      </c>
      <c r="J20" s="24" t="str">
        <f>RIGHT(Product_DB[[#This Row],[Product ID]],2)</f>
        <v>UK</v>
      </c>
      <c r="K20" s="3"/>
    </row>
    <row r="21" spans="1:11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26" t="str">
        <f>IF(Product_DB[[#This Row],[Price ($)]]&gt;=500,"High Price","Standard Price")</f>
        <v>Standard Price</v>
      </c>
      <c r="H21" s="26" t="str">
        <f>LEFT(Product_DB[[#This Row],[Product ID]],2)</f>
        <v>14</v>
      </c>
      <c r="I21" s="26" t="str">
        <f>MID(Product_DB[[#This Row],[Product ID]],4,3)</f>
        <v>AUG</v>
      </c>
      <c r="J21" s="26" t="str">
        <f>RIGHT(Product_DB[[#This Row],[Product ID]],2)</f>
        <v>US</v>
      </c>
      <c r="K21" s="3"/>
    </row>
    <row r="22" spans="1:11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24" t="str">
        <f>IF(Product_DB[[#This Row],[Price ($)]]&gt;=500,"High Price","Standard Price")</f>
        <v>High Price</v>
      </c>
      <c r="H22" s="24" t="str">
        <f>LEFT(Product_DB[[#This Row],[Product ID]],2)</f>
        <v>14</v>
      </c>
      <c r="I22" s="24" t="str">
        <f>MID(Product_DB[[#This Row],[Product ID]],4,3)</f>
        <v>MAY</v>
      </c>
      <c r="J22" s="24" t="str">
        <f>RIGHT(Product_DB[[#This Row],[Product ID]],2)</f>
        <v>RU</v>
      </c>
      <c r="K22" s="3"/>
    </row>
    <row r="23" spans="1:11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26" t="str">
        <f>IF(Product_DB[[#This Row],[Price ($)]]&gt;=500,"High Price","Standard Price")</f>
        <v>Standard Price</v>
      </c>
      <c r="H23" s="26" t="str">
        <f>LEFT(Product_DB[[#This Row],[Product ID]],2)</f>
        <v>09</v>
      </c>
      <c r="I23" s="26" t="str">
        <f>MID(Product_DB[[#This Row],[Product ID]],4,3)</f>
        <v>JAN</v>
      </c>
      <c r="J23" s="26" t="str">
        <f>RIGHT(Product_DB[[#This Row],[Product ID]],2)</f>
        <v>CA</v>
      </c>
      <c r="K23" s="3"/>
    </row>
    <row r="24" spans="1:11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24" t="str">
        <f>IF(Product_DB[[#This Row],[Price ($)]]&gt;=500,"High Price","Standard Price")</f>
        <v>Standard Price</v>
      </c>
      <c r="H24" s="24" t="str">
        <f>LEFT(Product_DB[[#This Row],[Product ID]],2)</f>
        <v>19</v>
      </c>
      <c r="I24" s="24" t="str">
        <f>MID(Product_DB[[#This Row],[Product ID]],4,3)</f>
        <v>JUL</v>
      </c>
      <c r="J24" s="24" t="str">
        <f>RIGHT(Product_DB[[#This Row],[Product ID]],2)</f>
        <v>BR</v>
      </c>
      <c r="K24" s="3"/>
    </row>
    <row r="25" spans="1:11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26" t="str">
        <f>IF(Product_DB[[#This Row],[Price ($)]]&gt;=500,"High Price","Standard Price")</f>
        <v>Standard Price</v>
      </c>
      <c r="H25" s="26" t="str">
        <f>LEFT(Product_DB[[#This Row],[Product ID]],2)</f>
        <v>21</v>
      </c>
      <c r="I25" s="26" t="str">
        <f>MID(Product_DB[[#This Row],[Product ID]],4,3)</f>
        <v>AUG</v>
      </c>
      <c r="J25" s="26" t="str">
        <f>RIGHT(Product_DB[[#This Row],[Product ID]],2)</f>
        <v>CA</v>
      </c>
      <c r="K25" s="5"/>
    </row>
    <row r="26" spans="1:11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24" t="str">
        <f>IF(Product_DB[[#This Row],[Price ($)]]&gt;=500,"High Price","Standard Price")</f>
        <v>High Price</v>
      </c>
      <c r="H26" s="24" t="str">
        <f>LEFT(Product_DB[[#This Row],[Product ID]],2)</f>
        <v>29</v>
      </c>
      <c r="I26" s="24" t="str">
        <f>MID(Product_DB[[#This Row],[Product ID]],4,3)</f>
        <v>SEP</v>
      </c>
      <c r="J26" s="24" t="str">
        <f>RIGHT(Product_DB[[#This Row],[Product ID]],2)</f>
        <v>CA</v>
      </c>
      <c r="K26" s="3"/>
    </row>
    <row r="27" spans="1:11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26" t="str">
        <f>IF(Product_DB[[#This Row],[Price ($)]]&gt;=500,"High Price","Standard Price")</f>
        <v>Standard Price</v>
      </c>
      <c r="H27" s="26" t="str">
        <f>LEFT(Product_DB[[#This Row],[Product ID]],2)</f>
        <v>03</v>
      </c>
      <c r="I27" s="26" t="str">
        <f>MID(Product_DB[[#This Row],[Product ID]],4,3)</f>
        <v>JUN</v>
      </c>
      <c r="J27" s="26" t="str">
        <f>RIGHT(Product_DB[[#This Row],[Product ID]],2)</f>
        <v>CA</v>
      </c>
      <c r="K27" s="3"/>
    </row>
    <row r="28" spans="1:11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24" t="str">
        <f>IF(Product_DB[[#This Row],[Price ($)]]&gt;=500,"High Price","Standard Price")</f>
        <v>Standard Price</v>
      </c>
      <c r="H28" s="24" t="str">
        <f>LEFT(Product_DB[[#This Row],[Product ID]],2)</f>
        <v>11</v>
      </c>
      <c r="I28" s="24" t="str">
        <f>MID(Product_DB[[#This Row],[Product ID]],4,3)</f>
        <v>JUL</v>
      </c>
      <c r="J28" s="24" t="str">
        <f>RIGHT(Product_DB[[#This Row],[Product ID]],2)</f>
        <v>CA</v>
      </c>
      <c r="K28" s="3"/>
    </row>
    <row r="29" spans="1:11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26" t="str">
        <f>IF(Product_DB[[#This Row],[Price ($)]]&gt;=500,"High Price","Standard Price")</f>
        <v>Standard Price</v>
      </c>
      <c r="H29" s="26" t="str">
        <f>LEFT(Product_DB[[#This Row],[Product ID]],2)</f>
        <v>16</v>
      </c>
      <c r="I29" s="26" t="str">
        <f>MID(Product_DB[[#This Row],[Product ID]],4,3)</f>
        <v>APR</v>
      </c>
      <c r="J29" s="26" t="str">
        <f>RIGHT(Product_DB[[#This Row],[Product ID]],2)</f>
        <v>ES</v>
      </c>
      <c r="K29" s="5"/>
    </row>
    <row r="30" spans="1:11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24" t="str">
        <f>IF(Product_DB[[#This Row],[Price ($)]]&gt;=500,"High Price","Standard Price")</f>
        <v>Standard Price</v>
      </c>
      <c r="H30" s="24" t="str">
        <f>LEFT(Product_DB[[#This Row],[Product ID]],2)</f>
        <v>07</v>
      </c>
      <c r="I30" s="24" t="str">
        <f>MID(Product_DB[[#This Row],[Product ID]],4,3)</f>
        <v>MAR</v>
      </c>
      <c r="J30" s="24" t="str">
        <f>RIGHT(Product_DB[[#This Row],[Product ID]],2)</f>
        <v>CA</v>
      </c>
      <c r="K30" s="3"/>
    </row>
    <row r="31" spans="1:11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26" t="str">
        <f>IF(Product_DB[[#This Row],[Price ($)]]&gt;=500,"High Price","Standard Price")</f>
        <v>Standard Price</v>
      </c>
      <c r="H31" s="26" t="str">
        <f>LEFT(Product_DB[[#This Row],[Product ID]],2)</f>
        <v>13</v>
      </c>
      <c r="I31" s="26" t="str">
        <f>MID(Product_DB[[#This Row],[Product ID]],4,3)</f>
        <v>APR</v>
      </c>
      <c r="J31" s="26" t="str">
        <f>RIGHT(Product_DB[[#This Row],[Product ID]],2)</f>
        <v>CA</v>
      </c>
      <c r="K31" s="3"/>
    </row>
    <row r="32" spans="1:11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24" t="str">
        <f>IF(Product_DB[[#This Row],[Price ($)]]&gt;=500,"High Price","Standard Price")</f>
        <v>Standard Price</v>
      </c>
      <c r="H32" s="24" t="str">
        <f>LEFT(Product_DB[[#This Row],[Product ID]],2)</f>
        <v>24</v>
      </c>
      <c r="I32" s="24" t="str">
        <f>MID(Product_DB[[#This Row],[Product ID]],4,3)</f>
        <v>MAY</v>
      </c>
      <c r="J32" s="24" t="str">
        <f>RIGHT(Product_DB[[#This Row],[Product ID]],2)</f>
        <v>CA</v>
      </c>
      <c r="K32" s="3"/>
    </row>
    <row r="33" spans="1:11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26" t="str">
        <f>IF(Product_DB[[#This Row],[Price ($)]]&gt;=500,"High Price","Standard Price")</f>
        <v>Standard Price</v>
      </c>
      <c r="H33" s="26" t="str">
        <f>LEFT(Product_DB[[#This Row],[Product ID]],2)</f>
        <v>02</v>
      </c>
      <c r="I33" s="26" t="str">
        <f>MID(Product_DB[[#This Row],[Product ID]],4,3)</f>
        <v>DEC</v>
      </c>
      <c r="J33" s="26" t="str">
        <f>RIGHT(Product_DB[[#This Row],[Product ID]],2)</f>
        <v>CA</v>
      </c>
      <c r="K33" s="3"/>
    </row>
    <row r="34" spans="1:11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24" t="str">
        <f>IF(Product_DB[[#This Row],[Price ($)]]&gt;=500,"High Price","Standard Price")</f>
        <v>High Price</v>
      </c>
      <c r="H34" s="24" t="str">
        <f>LEFT(Product_DB[[#This Row],[Product ID]],2)</f>
        <v>17</v>
      </c>
      <c r="I34" s="24" t="str">
        <f>MID(Product_DB[[#This Row],[Product ID]],4,3)</f>
        <v>JUN</v>
      </c>
      <c r="J34" s="24" t="str">
        <f>RIGHT(Product_DB[[#This Row],[Product ID]],2)</f>
        <v>IN</v>
      </c>
      <c r="K34" s="3"/>
    </row>
    <row r="35" spans="1:11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26" t="str">
        <f>IF(Product_DB[[#This Row],[Price ($)]]&gt;=500,"High Price","Standard Price")</f>
        <v>Standard Price</v>
      </c>
      <c r="H35" s="26" t="str">
        <f>LEFT(Product_DB[[#This Row],[Product ID]],2)</f>
        <v>09</v>
      </c>
      <c r="I35" s="26" t="str">
        <f>MID(Product_DB[[#This Row],[Product ID]],4,3)</f>
        <v>JUL</v>
      </c>
      <c r="J35" s="26" t="str">
        <f>RIGHT(Product_DB[[#This Row],[Product ID]],2)</f>
        <v>FR</v>
      </c>
      <c r="K35" s="3"/>
    </row>
    <row r="36" spans="1:11" ht="15.75" customHeight="1" x14ac:dyDescent="0.25"/>
    <row r="37" spans="1:11" ht="15.75" customHeight="1" x14ac:dyDescent="0.25"/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dataConsolidate function="count">
    <dataRefs count="1">
      <dataRef ref="B2:B35" sheet="Dataset"/>
    </dataRefs>
  </dataConsolid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4C88A-5A49-48A1-AF53-F19D53064C0B}">
  <dimension ref="A1:D27"/>
  <sheetViews>
    <sheetView topLeftCell="A11" workbookViewId="0">
      <selection activeCell="B13" sqref="B13"/>
    </sheetView>
  </sheetViews>
  <sheetFormatPr defaultRowHeight="13.2" x14ac:dyDescent="0.25"/>
  <cols>
    <col min="1" max="1" width="97.5546875" customWidth="1"/>
    <col min="2" max="2" width="35.88671875" customWidth="1"/>
    <col min="3" max="3" width="68" style="9" customWidth="1"/>
  </cols>
  <sheetData>
    <row r="1" spans="1:4" ht="31.8" customHeight="1" thickTop="1" thickBot="1" x14ac:dyDescent="0.3">
      <c r="A1" s="32" t="s">
        <v>117</v>
      </c>
      <c r="B1" s="33"/>
      <c r="C1" s="34"/>
      <c r="D1" s="14"/>
    </row>
    <row r="2" spans="1:4" ht="22.2" thickTop="1" thickBot="1" x14ac:dyDescent="0.45">
      <c r="A2" s="30" t="s">
        <v>93</v>
      </c>
      <c r="B2" s="31"/>
      <c r="C2" s="31"/>
    </row>
    <row r="3" spans="1:4" ht="31.8" customHeight="1" thickTop="1" thickBot="1" x14ac:dyDescent="0.3">
      <c r="A3" s="15" t="s">
        <v>95</v>
      </c>
      <c r="B3" s="15" t="s">
        <v>96</v>
      </c>
      <c r="C3" s="15" t="s">
        <v>94</v>
      </c>
    </row>
    <row r="4" spans="1:4" s="6" customFormat="1" ht="32.4" thickTop="1" thickBot="1" x14ac:dyDescent="0.35">
      <c r="A4" s="10" t="s">
        <v>99</v>
      </c>
      <c r="B4" s="16"/>
      <c r="C4" s="17"/>
    </row>
    <row r="5" spans="1:4" s="6" customFormat="1" ht="16.2" thickTop="1" thickBot="1" x14ac:dyDescent="0.3">
      <c r="A5" s="11" t="s">
        <v>97</v>
      </c>
      <c r="B5" s="18">
        <f>SUM(Product_DB[Price ($)])</f>
        <v>10100</v>
      </c>
      <c r="C5" s="19" t="s">
        <v>114</v>
      </c>
    </row>
    <row r="6" spans="1:4" s="6" customFormat="1" ht="15.6" thickTop="1" x14ac:dyDescent="0.25">
      <c r="A6" s="35" t="s">
        <v>98</v>
      </c>
      <c r="B6" s="18">
        <v>21</v>
      </c>
      <c r="C6" s="19" t="s">
        <v>130</v>
      </c>
    </row>
    <row r="7" spans="1:4" s="6" customFormat="1" ht="15.6" thickBot="1" x14ac:dyDescent="0.3">
      <c r="A7" s="36"/>
      <c r="B7" s="18">
        <f>COUNT(Product_DB[Price ($)])</f>
        <v>34</v>
      </c>
      <c r="C7" s="20" t="s">
        <v>119</v>
      </c>
    </row>
    <row r="8" spans="1:4" s="6" customFormat="1" ht="16.2" thickTop="1" thickBot="1" x14ac:dyDescent="0.3">
      <c r="A8" s="12" t="s">
        <v>100</v>
      </c>
      <c r="B8" s="18">
        <f>AVERAGE(Product_DB[Price ($)])</f>
        <v>297.05882352941177</v>
      </c>
      <c r="C8" s="20" t="s">
        <v>116</v>
      </c>
    </row>
    <row r="9" spans="1:4" s="6" customFormat="1" ht="25.05" customHeight="1" thickTop="1" thickBot="1" x14ac:dyDescent="0.3">
      <c r="A9" s="11"/>
      <c r="B9" s="18"/>
      <c r="C9" s="19"/>
    </row>
    <row r="10" spans="1:4" ht="32.4" thickTop="1" thickBot="1" x14ac:dyDescent="0.35">
      <c r="A10" s="10" t="s">
        <v>103</v>
      </c>
      <c r="B10" s="18"/>
      <c r="C10" s="20"/>
    </row>
    <row r="11" spans="1:4" ht="16.2" thickTop="1" thickBot="1" x14ac:dyDescent="0.3">
      <c r="A11" s="11" t="s">
        <v>101</v>
      </c>
      <c r="B11" s="18">
        <f>MIN(Product_DB[Price ($)])</f>
        <v>30</v>
      </c>
      <c r="C11" s="20" t="s">
        <v>120</v>
      </c>
    </row>
    <row r="12" spans="1:4" ht="16.2" thickTop="1" thickBot="1" x14ac:dyDescent="0.3">
      <c r="A12" s="11" t="s">
        <v>102</v>
      </c>
      <c r="B12" s="18">
        <f>MAX(Product_DB[Price ($)])</f>
        <v>1000</v>
      </c>
      <c r="C12" s="19" t="s">
        <v>121</v>
      </c>
    </row>
    <row r="13" spans="1:4" ht="25.05" customHeight="1" thickTop="1" thickBot="1" x14ac:dyDescent="0.3">
      <c r="A13" s="13"/>
      <c r="B13" s="18"/>
      <c r="C13" s="20"/>
    </row>
    <row r="14" spans="1:4" ht="32.4" thickTop="1" thickBot="1" x14ac:dyDescent="0.35">
      <c r="A14" s="10" t="s">
        <v>118</v>
      </c>
      <c r="B14" s="18"/>
      <c r="C14" s="20"/>
    </row>
    <row r="15" spans="1:4" ht="16.2" thickTop="1" thickBot="1" x14ac:dyDescent="0.3">
      <c r="A15" s="11" t="s">
        <v>104</v>
      </c>
      <c r="B15" s="18"/>
      <c r="C15" s="19"/>
    </row>
    <row r="16" spans="1:4" ht="16.2" thickTop="1" thickBot="1" x14ac:dyDescent="0.3">
      <c r="A16" s="12" t="s">
        <v>105</v>
      </c>
      <c r="B16" s="18"/>
      <c r="C16" s="20" t="s">
        <v>131</v>
      </c>
    </row>
    <row r="17" spans="1:3" ht="16.2" thickTop="1" thickBot="1" x14ac:dyDescent="0.3">
      <c r="A17" s="11" t="s">
        <v>106</v>
      </c>
      <c r="B17" s="18"/>
      <c r="C17" s="20"/>
    </row>
    <row r="18" spans="1:3" ht="25.05" customHeight="1" thickTop="1" thickBot="1" x14ac:dyDescent="0.3">
      <c r="A18" s="13"/>
      <c r="B18" s="18"/>
      <c r="C18" s="19"/>
    </row>
    <row r="19" spans="1:3" ht="32.4" thickTop="1" thickBot="1" x14ac:dyDescent="0.35">
      <c r="A19" s="10" t="s">
        <v>109</v>
      </c>
      <c r="B19" s="18"/>
      <c r="C19" s="20"/>
    </row>
    <row r="20" spans="1:3" ht="16.2" thickTop="1" thickBot="1" x14ac:dyDescent="0.3">
      <c r="A20" s="11" t="s">
        <v>107</v>
      </c>
      <c r="B20" s="18">
        <f>SUMIF(Product_DB[Category],"Electronics",Product_DB[Price ($)])</f>
        <v>8050</v>
      </c>
      <c r="C20" s="20" t="s">
        <v>122</v>
      </c>
    </row>
    <row r="21" spans="1:3" ht="16.2" thickTop="1" thickBot="1" x14ac:dyDescent="0.3">
      <c r="A21" s="11" t="s">
        <v>108</v>
      </c>
      <c r="B21" s="18">
        <f>COUNTIF(Product_DB[Price ($)],"&lt;100")</f>
        <v>11</v>
      </c>
      <c r="C21" s="19" t="s">
        <v>123</v>
      </c>
    </row>
    <row r="22" spans="1:3" ht="25.05" customHeight="1" thickTop="1" thickBot="1" x14ac:dyDescent="0.3">
      <c r="A22" s="13"/>
      <c r="B22" s="18"/>
      <c r="C22" s="20"/>
    </row>
    <row r="23" spans="1:3" ht="32.4" thickTop="1" thickBot="1" x14ac:dyDescent="0.35">
      <c r="A23" s="10" t="s">
        <v>112</v>
      </c>
      <c r="B23" s="18"/>
      <c r="C23" s="29"/>
    </row>
    <row r="24" spans="1:3" ht="31.2" customHeight="1" thickTop="1" thickBot="1" x14ac:dyDescent="0.3">
      <c r="A24" s="12" t="s">
        <v>110</v>
      </c>
      <c r="B24" s="18"/>
      <c r="C24" s="20" t="s">
        <v>127</v>
      </c>
    </row>
    <row r="25" spans="1:3" ht="31.2" customHeight="1" thickTop="1" thickBot="1" x14ac:dyDescent="0.3">
      <c r="A25" s="12" t="s">
        <v>111</v>
      </c>
      <c r="B25" s="18"/>
      <c r="C25" s="20" t="s">
        <v>129</v>
      </c>
    </row>
    <row r="26" spans="1:3" ht="31.2" customHeight="1" thickTop="1" thickBot="1" x14ac:dyDescent="0.3">
      <c r="A26" s="10" t="s">
        <v>113</v>
      </c>
      <c r="B26" s="21"/>
      <c r="C26" s="28" t="s">
        <v>128</v>
      </c>
    </row>
    <row r="27" spans="1:3" ht="13.8" thickTop="1" x14ac:dyDescent="0.25"/>
  </sheetData>
  <mergeCells count="3">
    <mergeCell ref="A2:C2"/>
    <mergeCell ref="A1:C1"/>
    <mergeCell ref="A6:A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Case Study &amp;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Harihara kumar</cp:lastModifiedBy>
  <dcterms:modified xsi:type="dcterms:W3CDTF">2026-10-26T09:50:59Z</dcterms:modified>
</cp:coreProperties>
</file>